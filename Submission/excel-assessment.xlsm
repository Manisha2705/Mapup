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xr:revisionPtr revIDLastSave="0" documentId="13_ncr:1_{76699B9E-C0DF-42DC-8946-40047213F7A2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30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30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30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30" i="18" s="1"/>
  <c r="B6" i="19" a="1"/>
  <c r="B6" i="19" s="1"/>
  <c r="C22" i="19" a="1"/>
  <c r="C22" i="19" s="1"/>
  <c r="C5" i="15"/>
  <c r="H41" i="1"/>
  <c r="B28" i="18" l="1"/>
  <c r="E28" i="18"/>
  <c r="E29" i="18"/>
  <c r="B29" i="18"/>
  <c r="D28" i="18"/>
  <c r="D29" i="18"/>
  <c r="C28" i="18"/>
  <c r="C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<sst xmlns="http://schemas.openxmlformats.org/spreadsheetml/2006/main" count="399" uniqueCount="180">
  <si>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</si>
  <si>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</si>
  <si>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</si>
  <si>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</si>
  <si>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</si>
  <si>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</si>
  <si>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</si>
  <si>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</si>
  <si>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</si>
  <si>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</si>
  <si>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</si>
  <si>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</si>
  <si>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</si>
  <si>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</si>
  <si>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</si>
  <si>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</si>
  <si>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</si>
  <si>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</si>
  <si>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</si>
  <si>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</si>
  <si>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</si>
  <si>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</si>
  <si>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</si>
  <si>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</si>
  <si>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</si>
  <si>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</si>
  <si>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</si>
  <si>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</si>
  <si>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</si>
  <si>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</si>
  <si>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</si>
  <si>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</si>
  <si>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</si>
  <si>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</si>
  <si>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</si>
  <si>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</si>
  <si>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</si>
  <si>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</si>
  <si>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</si>
  <si>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</si>
  <si>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</si>
  <si>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</si>
  <si>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</si>
  <si>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</si>
  <si>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</si>
  <si>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</si>
  <si>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</si>
  <si>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</si>
  <si>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</si>
  <si>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</si>
  <si>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</si>
  <si>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</si>
  <si>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</si>
  <si>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</si>
  <si>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</si>
  <si>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</si>
  <si>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</si>
  <si>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</si>
  <si>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</si>
  <si>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</si>
  <si>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</si>
  <si>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</si>
  <si>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</si>
  <si>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</si>
  <si>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</si>
  <si>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</si>
  <si>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</si>
  <si>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</si>
  <si>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</si>
  <si>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</si>
  <si>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</si>
  <si>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</si>
  <si>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</si>
  <si>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</si>
  <si>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</si>
  <si>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</si>
  <si>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</si>
  <si>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</si>
  <si>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</si>
  <si>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</si>
  <si>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</si>
  <si>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</si>
  <si>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</si>
  <si>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</si>
  <si>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</si>
  <si>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</si>
  <si>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</si>
  <si>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</si>
  <si>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</si>
  <si>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</si>
  <si>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</si>
  <si>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</si>
  <si>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</si>
  <si>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</si>
  <si>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</si>
  <si>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</si>
  <si>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</si>
  <si>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</si>
  <si>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</si>
  <si>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</si>
  <si>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</si>
  <si>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</si>
  <si>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</si>
  <si>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</si>
  <si>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</si>
  <si>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</si>
  <si>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</si>
  <si>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</si>
  <si>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</si>
  <si>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</si>
  <si>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</si>
  <si>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</si>
  <si>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</si>
  <si>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</si>
  <si>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</si>
  <si>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</si>
  <si>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</si>
  <si>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</si>
  <si>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</si>
  <si>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</si>
  <si>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</si>
  <si>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</si>
  <si>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</si>
  <si>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</si>
  <si>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</si>
  <si>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</si>
  <si>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</si>
  <si>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</si>
  <si>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</si>
  <si>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</si>
  <si>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</si>
  <si>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</si>
  <si>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</si>
  <si>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</si>
  <si>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</si>
  <si>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</si>
  <si>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</si>
  <si>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</si>
  <si>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</si>
  <si>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</si>
  <si>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</si>
  <si>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</si>
  <si>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</si>
  <si>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</si>
  <si>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</si>
  <si>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</si>
  <si>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</si>
  <si>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</si>
  <si>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</si>
  <si>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</si>
  <si>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</si>
  <si>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</si>
  <si>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</si>
  <si>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</si>
  <si>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</si>
  <si>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</si>
  <si>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</si>
  <si>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</si>
  <si>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</si>
  <si>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</si>
  <si>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</si>
  <si>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</si>
  <si>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</si>
  <si>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</si>
  <si>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</si>
  <si>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</si>
  <si>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</si>
  <si>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</si>
  <si>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</si>
  <si>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</si>
  <si>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</si>
  <si>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</si>
  <si>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</si>
  <si>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</si>
  <si>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</si>
  <si>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</si>
  <si>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</si>
  <si>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ISNA checks the values in the sales coloumn whether it is #N/A and IF(ISNA(C12:C21),20,C12:C21) substitutes 20 if value is #N/A or else keep original values and sum will adds up the modified values.</t>
  </si>
  <si>
    <t>By using delimiter</t>
  </si>
  <si>
    <t>Select the coloumn we want to separate &gt;&gt; Data tab&gt;&gt; Text to coloumn&gt;&gt;enable delimiter&gt;&gt;next&gt;&gt;other: -&gt;&gt;next&gt;&gt;select destination&gt;&gt;Finish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</si>
</sst>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C1" zoomScale="58" zoomScaleNormal="100" workbookViewId="0">
      <pane ySplit="1" topLeftCell="A2" activePane="bottomLeft" state="frozen"/>
      <selection activeCell="C1" sqref="C1"/>
      <selection pane="bottomLeft" activeCell="V2" sqref="V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SUMIF(H1:H40,"&gt;20")</f>
        <v>1473.0000000000002</v>
      </c>
    </row>
  </sheetData>
  <conditionalFormatting sqref="A1:A1048576">
    <cfRule type="duplicateValues" dxfId="4" priority="7"/>
  </conditionalFormatting>
  <conditionalFormatting sqref="B1:B1048576">
    <cfRule type="duplicateValues" dxfId="3" priority="6"/>
  </conditionalFormatting>
  <conditionalFormatting sqref="F1:X40">
    <cfRule type="expression" priority="5">
      <formula>"Format cells with: cell value equal to:-1"</formula>
    </cfRule>
  </conditionalFormatting>
  <conditionalFormatting sqref="G1:X40">
    <cfRule type="cellIs" priority="4" operator="equal">
      <formula>-1</formula>
    </cfRule>
    <cfRule type="cellIs" dxfId="2" priority="2" operator="equal">
      <formula>0</formula>
    </cfRule>
    <cfRule type="cellIs" dxfId="1" priority="1" operator="equal">
      <formula>-1</formula>
    </cfRule>
  </conditionalFormatting>
  <conditionalFormatting sqref="G1:Z40"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SUMIF(H1:H40,"&gt;20")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Normal="100" workbookViewId="0">
      <selection activeCell="I23" sqref="I2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46">
        <f>VLOOKUP($A6, Dataset!$A$2:$T$100, MATCH("car1", Dataset!$A$1:$T$1, 0) + COLUMN(Dataset!$A$1) - 1, TRUE)</f>
        <v>49.1</v>
      </c>
      <c r="C6" s="46">
        <f>VLOOKUP($A6, Dataset!$A$2:$T$100, MATCH("bus2", Dataset!$A$1:$T$1, 0) + COLUMN(Dataset!$A$1) - 1, TRUE)</f>
        <v>146.80000000000001</v>
      </c>
      <c r="D6" s="12">
        <f>VLOOKUP($A6, Dataset!$A$2:$T$100, MATCH("rv3", Dataset!$A$1:$T$1, 0) + COLUMN(Dataset!$A$1) - 1, TRUE)</f>
        <v>90.9</v>
      </c>
      <c r="E6" s="12">
        <f>VLOOKUP($A6, Dataset!$A$2:$T$100, MATCH("truck2", Dataset!$A$1:$T$1, 0) + COLUMN(Dataset!$A$1) - 1, TRUE)</f>
        <v>183.5</v>
      </c>
      <c r="F6" s="8" t="e">
        <f>VLOOKUP($A6, Dataset!$A$2:$T$100, MATCH("taxi2", Dataset!$A$1:$T$1, 0) + COLUMN(Dataset!$A$1) - 1, TRUE)</f>
        <v>#N/A</v>
      </c>
    </row>
    <row r="7" spans="1:7" ht="14.4" x14ac:dyDescent="0.3">
      <c r="A7" s="7" t="s">
        <v>4</v>
      </c>
      <c r="B7" s="46">
        <f>VLOOKUP($A7, Dataset!$A$2:$T$100, MATCH("car1", Dataset!$A$1:$T$1, 0) + COLUMN(Dataset!$A$1) - 1, TRUE)</f>
        <v>3.6</v>
      </c>
      <c r="C7" s="46">
        <f>VLOOKUP($A7, Dataset!$A$2:$T$100, MATCH("bus2", Dataset!$A$1:$T$1, 0) + COLUMN(Dataset!$A$1) - 1, TRUE)</f>
        <v>11.1</v>
      </c>
      <c r="D7" s="12">
        <f>VLOOKUP($A7, Dataset!$A$2:$T$100, MATCH("rv3", Dataset!$A$1:$T$1, 0) + COLUMN(Dataset!$A$1) - 1, TRUE)</f>
        <v>5.8</v>
      </c>
      <c r="E7" s="12">
        <f>VLOOKUP($A7, Dataset!$A$2:$T$100, MATCH("truck2", Dataset!$A$1:$T$1, 0) + COLUMN(Dataset!$A$1) - 1, TRUE)</f>
        <v>12.2</v>
      </c>
      <c r="F7" s="8" t="e">
        <f>VLOOKUP($A7, Dataset!$A$2:$T$100, MATCH("taxi2", Dataset!$A$1:$T$1, 0) + COLUMN(Dataset!$A$1) - 1, TRUE)</f>
        <v>#N/A</v>
      </c>
    </row>
    <row r="8" spans="1:7" ht="14.4" x14ac:dyDescent="0.3">
      <c r="A8" s="7" t="s">
        <v>7</v>
      </c>
      <c r="B8" s="46">
        <f>VLOOKUP($A8, Dataset!$A$2:$T$100, MATCH("car1", Dataset!$A$1:$T$1, 0) + COLUMN(Dataset!$A$1) - 1, TRUE)</f>
        <v>3.6</v>
      </c>
      <c r="C8" s="46">
        <f>VLOOKUP($A8, Dataset!$A$2:$T$100, MATCH("bus2", Dataset!$A$1:$T$1, 0) + COLUMN(Dataset!$A$1) - 1, TRUE)</f>
        <v>11.1</v>
      </c>
      <c r="D8" s="12">
        <f>VLOOKUP($A8, Dataset!$A$2:$T$100, MATCH("rv3", Dataset!$A$1:$T$1, 0) + COLUMN(Dataset!$A$1) - 1, TRUE)</f>
        <v>5.8</v>
      </c>
      <c r="E8" s="12">
        <f>VLOOKUP($A8, Dataset!$A$2:$T$100, MATCH("truck2", Dataset!$A$1:$T$1, 0) + COLUMN(Dataset!$A$1) - 1, TRUE)</f>
        <v>12.2</v>
      </c>
      <c r="F8" s="8" t="e">
        <f>VLOOKUP($A8, Dataset!$A$2:$T$100, MATCH("taxi2", Dataset!$A$1:$T$1, 0) + COLUMN(Dataset!$A$1) - 1, TRUE)</f>
        <v>#N/A</v>
      </c>
    </row>
    <row r="9" spans="1:7" ht="14.4" x14ac:dyDescent="0.3">
      <c r="A9" s="7" t="s">
        <v>8</v>
      </c>
      <c r="B9" s="46">
        <f>VLOOKUP($A9, Dataset!$A$2:$T$100, MATCH("car1", Dataset!$A$1:$T$1, 0) + COLUMN(Dataset!$A$1) - 1, TRUE)</f>
        <v>47.3</v>
      </c>
      <c r="C9" s="46">
        <f>VLOOKUP($A9, Dataset!$A$2:$T$100, MATCH("bus2", Dataset!$A$1:$T$1, 0) + COLUMN(Dataset!$A$1) - 1, TRUE)</f>
        <v>142.5</v>
      </c>
      <c r="D9" s="12">
        <f>VLOOKUP($A9, Dataset!$A$2:$T$100, MATCH("rv3", Dataset!$A$1:$T$1, 0) + COLUMN(Dataset!$A$1) - 1, TRUE)</f>
        <v>86.4</v>
      </c>
      <c r="E9" s="12">
        <f>VLOOKUP($A9, Dataset!$A$2:$T$100, MATCH("truck2", Dataset!$A$1:$T$1, 0) + COLUMN(Dataset!$A$1) - 1, TRUE)</f>
        <v>174.2</v>
      </c>
      <c r="F9" s="8" t="e">
        <f>VLOOKUP($A9, Dataset!$A$2:$T$100, MATCH("taxi2", Dataset!$A$1:$T$1, 0) + COLUMN(Dataset!$A$1) - 1, TRUE)</f>
        <v>#N/A</v>
      </c>
    </row>
    <row r="10" spans="1:7" ht="14.4" x14ac:dyDescent="0.3">
      <c r="A10" s="7" t="s">
        <v>11</v>
      </c>
      <c r="B10" s="46">
        <f>VLOOKUP($A10, Dataset!$A$2:$T$100, MATCH("car1", Dataset!$A$1:$T$1, 0) + COLUMN(Dataset!$A$1) - 1, TRUE)</f>
        <v>3.6</v>
      </c>
      <c r="C10" s="46">
        <f>VLOOKUP($A10, Dataset!$A$2:$T$100, MATCH("bus2", Dataset!$A$1:$T$1, 0) + COLUMN(Dataset!$A$1) - 1, TRUE)</f>
        <v>11.1</v>
      </c>
      <c r="D10" s="12">
        <f>VLOOKUP($A10, Dataset!$A$2:$T$100, MATCH("rv3", Dataset!$A$1:$T$1, 0) + COLUMN(Dataset!$A$1) - 1, TRUE)</f>
        <v>5.8</v>
      </c>
      <c r="E10" s="12">
        <f>VLOOKUP($A10, Dataset!$A$2:$T$100, MATCH("truck2", Dataset!$A$1:$T$1, 0) + COLUMN(Dataset!$A$1) - 1, TRUE)</f>
        <v>12.2</v>
      </c>
      <c r="F10" s="8" t="e">
        <f>VLOOKUP($A10, Dataset!$A$2:$T$100, MATCH("taxi2", Dataset!$A$1:$T$1, 0) + COLUMN(Dataset!$A$1) - 1, TRUE)</f>
        <v>#N/A</v>
      </c>
    </row>
    <row r="11" spans="1:7" ht="14.4" x14ac:dyDescent="0.3">
      <c r="A11" s="7" t="s">
        <v>12</v>
      </c>
      <c r="B11" s="46">
        <f>VLOOKUP($A11, Dataset!$A$2:$T$100, MATCH("car1", Dataset!$A$1:$T$1, 0) + COLUMN(Dataset!$A$1) - 1, TRUE)</f>
        <v>49.1</v>
      </c>
      <c r="C11" s="46">
        <f>VLOOKUP($A11, Dataset!$A$2:$T$100, MATCH("bus2", Dataset!$A$1:$T$1, 0) + COLUMN(Dataset!$A$1) - 1, TRUE)</f>
        <v>146.80000000000001</v>
      </c>
      <c r="D11" s="12">
        <f>VLOOKUP($A11, Dataset!$A$2:$T$100, MATCH("rv3", Dataset!$A$1:$T$1, 0) + COLUMN(Dataset!$A$1) - 1, TRUE)</f>
        <v>90.9</v>
      </c>
      <c r="E11" s="12">
        <f>VLOOKUP($A11, Dataset!$A$2:$T$100, MATCH("truck2", Dataset!$A$1:$T$1, 0) + COLUMN(Dataset!$A$1) - 1, TRUE)</f>
        <v>183.5</v>
      </c>
      <c r="F11" s="8" t="e">
        <f>VLOOKUP($A11, Dataset!$A$2:$T$100, MATCH("taxi2", Dataset!$A$1:$T$1, 0) + COLUMN(Dataset!$A$1) - 1, TRUE)</f>
        <v>#N/A</v>
      </c>
    </row>
    <row r="12" spans="1:7" ht="14.4" x14ac:dyDescent="0.3">
      <c r="A12" s="7" t="s">
        <v>14</v>
      </c>
      <c r="B12" s="46">
        <f>VLOOKUP($A12, Dataset!$A$2:$T$100, MATCH("car1", Dataset!$A$1:$T$1, 0) + COLUMN(Dataset!$A$1) - 1, TRUE)</f>
        <v>3.6</v>
      </c>
      <c r="C12" s="46">
        <f>VLOOKUP($A12, Dataset!$A$2:$T$100, MATCH("bus2", Dataset!$A$1:$T$1, 0) + COLUMN(Dataset!$A$1) - 1, TRUE)</f>
        <v>11.1</v>
      </c>
      <c r="D12" s="12">
        <f>VLOOKUP($A12, Dataset!$A$2:$T$100, MATCH("rv3", Dataset!$A$1:$T$1, 0) + COLUMN(Dataset!$A$1) - 1, TRUE)</f>
        <v>5.8</v>
      </c>
      <c r="E12" s="12">
        <f>VLOOKUP($A12, Dataset!$A$2:$T$100, MATCH("truck2", Dataset!$A$1:$T$1, 0) + COLUMN(Dataset!$A$1) - 1, TRUE)</f>
        <v>12.2</v>
      </c>
      <c r="F12" s="8" t="e">
        <f>VLOOKUP($A12, Dataset!$A$2:$T$100, MATCH("taxi2", Dataset!$A$1:$T$1, 0) + COLUMN(Dataset!$A$1) - 1, TRUE)</f>
        <v>#N/A</v>
      </c>
    </row>
    <row r="13" spans="1:7" ht="14.4" x14ac:dyDescent="0.3">
      <c r="A13" s="7" t="s">
        <v>15</v>
      </c>
      <c r="B13" s="46">
        <f>VLOOKUP($A13, Dataset!$A$2:$T$100, MATCH("car1", Dataset!$A$1:$T$1, 0) + COLUMN(Dataset!$A$1) - 1, TRUE)</f>
        <v>3.6</v>
      </c>
      <c r="C13" s="46">
        <f>VLOOKUP($A13, Dataset!$A$2:$T$100, MATCH("bus2", Dataset!$A$1:$T$1, 0) + COLUMN(Dataset!$A$1) - 1, TRUE)</f>
        <v>11.1</v>
      </c>
      <c r="D13" s="12">
        <f>VLOOKUP($A13, Dataset!$A$2:$T$100, MATCH("rv3", Dataset!$A$1:$T$1, 0) + COLUMN(Dataset!$A$1) - 1, TRUE)</f>
        <v>5.8</v>
      </c>
      <c r="E13" s="12">
        <f>VLOOKUP($A13, Dataset!$A$2:$T$100, MATCH("truck2", Dataset!$A$1:$T$1, 0) + COLUMN(Dataset!$A$1) - 1, TRUE)</f>
        <v>12.2</v>
      </c>
      <c r="F13" s="8" t="e">
        <f>VLOOKUP($A13, Dataset!$A$2:$T$100, MATCH("taxi2", Dataset!$A$1:$T$1, 0) + COLUMN(Dataset!$A$1) - 1, TRUE)</f>
        <v>#N/A</v>
      </c>
    </row>
    <row r="14" spans="1:7" ht="14.4" x14ac:dyDescent="0.3">
      <c r="A14" s="7" t="s">
        <v>16</v>
      </c>
      <c r="B14" s="46">
        <f>VLOOKUP($A14, Dataset!$A$2:$T$100, MATCH("car1", Dataset!$A$1:$T$1, 0) + COLUMN(Dataset!$A$1) - 1, TRUE)</f>
        <v>50.6</v>
      </c>
      <c r="C14" s="46">
        <f>VLOOKUP($A14, Dataset!$A$2:$T$100, MATCH("bus2", Dataset!$A$1:$T$1, 0) + COLUMN(Dataset!$A$1) - 1, TRUE)</f>
        <v>151.5</v>
      </c>
      <c r="D14" s="12">
        <f>VLOOKUP($A14, Dataset!$A$2:$T$100, MATCH("rv3", Dataset!$A$1:$T$1, 0) + COLUMN(Dataset!$A$1) - 1, TRUE)</f>
        <v>93.1</v>
      </c>
      <c r="E14" s="12">
        <f>VLOOKUP($A14, Dataset!$A$2:$T$100, MATCH("truck2", Dataset!$A$1:$T$1, 0) + COLUMN(Dataset!$A$1) - 1, TRUE)</f>
        <v>188.1</v>
      </c>
      <c r="F14" s="8" t="e">
        <f>VLOOKUP($A14, Dataset!$A$2:$T$100, MATCH("taxi2", Dataset!$A$1:$T$1, 0) + COLUMN(Dataset!$A$1) - 1, TRUE)</f>
        <v>#N/A</v>
      </c>
    </row>
    <row r="15" spans="1:7" ht="14.4" x14ac:dyDescent="0.3">
      <c r="A15" s="7" t="s">
        <v>18</v>
      </c>
      <c r="B15" s="46">
        <f>VLOOKUP($A15, Dataset!$A$2:$T$100, MATCH("car1", Dataset!$A$1:$T$1, 0) + COLUMN(Dataset!$A$1) - 1, TRUE)</f>
        <v>3.6</v>
      </c>
      <c r="C15" s="46">
        <f>VLOOKUP($A15, Dataset!$A$2:$T$100, MATCH("bus2", Dataset!$A$1:$T$1, 0) + COLUMN(Dataset!$A$1) - 1, TRUE)</f>
        <v>11.1</v>
      </c>
      <c r="D15" s="12">
        <f>VLOOKUP($A15, Dataset!$A$2:$T$100, MATCH("rv3", Dataset!$A$1:$T$1, 0) + COLUMN(Dataset!$A$1) - 1, TRUE)</f>
        <v>5.8</v>
      </c>
      <c r="E15" s="12">
        <f>VLOOKUP($A15, Dataset!$A$2:$T$100, MATCH("truck2", Dataset!$A$1:$T$1, 0) + COLUMN(Dataset!$A$1) - 1, TRUE)</f>
        <v>12.2</v>
      </c>
      <c r="F15" s="8" t="e">
        <f>VLOOKUP($A15, Dataset!$A$2:$T$100, MATCH("taxi2", Dataset!$A$1:$T$1, 0) + COLUMN(Dataset!$A$1) - 1, TRUE)</f>
        <v>#N/A</v>
      </c>
    </row>
    <row r="16" spans="1:7" ht="14.4" x14ac:dyDescent="0.3">
      <c r="A16" s="7" t="s">
        <v>20</v>
      </c>
      <c r="B16" s="46">
        <f>VLOOKUP($A16, Dataset!$A$2:$T$100, MATCH("car1", Dataset!$A$1:$T$1, 0) + COLUMN(Dataset!$A$1) - 1, TRUE)</f>
        <v>43.3</v>
      </c>
      <c r="C16" s="46">
        <f>VLOOKUP($A16, Dataset!$A$2:$T$100, MATCH("bus2", Dataset!$A$1:$T$1, 0) + COLUMN(Dataset!$A$1) - 1, TRUE)</f>
        <v>128.6</v>
      </c>
      <c r="D16" s="12">
        <f>VLOOKUP($A16, Dataset!$A$2:$T$100, MATCH("rv3", Dataset!$A$1:$T$1, 0) + COLUMN(Dataset!$A$1) - 1, TRUE)</f>
        <v>77.2</v>
      </c>
      <c r="E16" s="12">
        <f>VLOOKUP($A16, Dataset!$A$2:$T$100, MATCH("truck2", Dataset!$A$1:$T$1, 0) + COLUMN(Dataset!$A$1) - 1, TRUE)</f>
        <v>156.4</v>
      </c>
      <c r="F16" s="8" t="e">
        <f>VLOOKUP($A16, Dataset!$A$2:$T$100, MATCH("taxi2", Dataset!$A$1:$T$1, 0) + COLUMN(Dataset!$A$1) - 1, TRUE)</f>
        <v>#N/A</v>
      </c>
    </row>
    <row r="17" spans="1:6" ht="14.4" x14ac:dyDescent="0.3">
      <c r="A17" s="7" t="s">
        <v>22</v>
      </c>
      <c r="B17" s="46">
        <f>VLOOKUP($A17, Dataset!$A$2:$T$100, MATCH("car1", Dataset!$A$1:$T$1, 0) + COLUMN(Dataset!$A$1) - 1, TRUE)</f>
        <v>43.3</v>
      </c>
      <c r="C17" s="46">
        <f>VLOOKUP($A17, Dataset!$A$2:$T$100, MATCH("bus2", Dataset!$A$1:$T$1, 0) + COLUMN(Dataset!$A$1) - 1, TRUE)</f>
        <v>128.6</v>
      </c>
      <c r="D17" s="12">
        <f>VLOOKUP($A17, Dataset!$A$2:$T$100, MATCH("rv3", Dataset!$A$1:$T$1, 0) + COLUMN(Dataset!$A$1) - 1, TRUE)</f>
        <v>77.2</v>
      </c>
      <c r="E17" s="12">
        <f>VLOOKUP($A17, Dataset!$A$2:$T$100, MATCH("truck2", Dataset!$A$1:$T$1, 0) + COLUMN(Dataset!$A$1) - 1, TRUE)</f>
        <v>156.4</v>
      </c>
      <c r="F17" s="8" t="e">
        <f>VLOOKUP($A17, Dataset!$A$2:$T$100, MATCH("taxi2", Dataset!$A$1:$T$1, 0) + COLUMN(Dataset!$A$1) - 1, TRUE)</f>
        <v>#N/A</v>
      </c>
    </row>
    <row r="18" spans="1:6" ht="14.4" x14ac:dyDescent="0.3">
      <c r="A18" s="7" t="s">
        <v>23</v>
      </c>
      <c r="B18" s="46">
        <f>VLOOKUP($A18, Dataset!$A$2:$T$100, MATCH("car1", Dataset!$A$1:$T$1, 0) + COLUMN(Dataset!$A$1) - 1, TRUE)</f>
        <v>49.1</v>
      </c>
      <c r="C18" s="46">
        <f>VLOOKUP($A18, Dataset!$A$2:$T$100, MATCH("bus2", Dataset!$A$1:$T$1, 0) + COLUMN(Dataset!$A$1) - 1, TRUE)</f>
        <v>146.80000000000001</v>
      </c>
      <c r="D18" s="12">
        <f>VLOOKUP($A18, Dataset!$A$2:$T$100, MATCH("rv3", Dataset!$A$1:$T$1, 0) + COLUMN(Dataset!$A$1) - 1, TRUE)</f>
        <v>90.9</v>
      </c>
      <c r="E18" s="12">
        <f>VLOOKUP($A18, Dataset!$A$2:$T$100, MATCH("truck2", Dataset!$A$1:$T$1, 0) + COLUMN(Dataset!$A$1) - 1, TRUE)</f>
        <v>183.5</v>
      </c>
      <c r="F18" s="8" t="e">
        <f>VLOOKUP($A18, Dataset!$A$2:$T$100, MATCH("taxi2", Dataset!$A$1:$T$1, 0) + COLUMN(Dataset!$A$1) - 1, TRUE)</f>
        <v>#N/A</v>
      </c>
    </row>
    <row r="19" spans="1:6" ht="14.4" x14ac:dyDescent="0.3">
      <c r="A19" s="7" t="s">
        <v>24</v>
      </c>
      <c r="B19" s="46">
        <f>VLOOKUP($A19, Dataset!$A$2:$T$100, MATCH("car1", Dataset!$A$1:$T$1, 0) + COLUMN(Dataset!$A$1) - 1, TRUE)</f>
        <v>47.3</v>
      </c>
      <c r="C19" s="46">
        <f>VLOOKUP($A19, Dataset!$A$2:$T$100, MATCH("bus2", Dataset!$A$1:$T$1, 0) + COLUMN(Dataset!$A$1) - 1, TRUE)</f>
        <v>142.5</v>
      </c>
      <c r="D19" s="12">
        <f>VLOOKUP($A19, Dataset!$A$2:$T$100, MATCH("rv3", Dataset!$A$1:$T$1, 0) + COLUMN(Dataset!$A$1) - 1, TRUE)</f>
        <v>86.4</v>
      </c>
      <c r="E19" s="12">
        <f>VLOOKUP($A19, Dataset!$A$2:$T$100, MATCH("truck2", Dataset!$A$1:$T$1, 0) + COLUMN(Dataset!$A$1) - 1, TRUE)</f>
        <v>174.2</v>
      </c>
      <c r="F19" s="8" t="e">
        <f>VLOOKUP($A19, Dataset!$A$2:$T$100, MATCH("taxi2", Dataset!$A$1:$T$1, 0) + COLUMN(Dataset!$A$1) - 1, TRUE)</f>
        <v>#N/A</v>
      </c>
    </row>
    <row r="20" spans="1:6" ht="14.4" x14ac:dyDescent="0.3">
      <c r="A20" s="7" t="s">
        <v>28</v>
      </c>
      <c r="B20" s="46">
        <f>VLOOKUP($A20, Dataset!$A$2:$T$100, MATCH("car1", Dataset!$A$1:$T$1, 0) + COLUMN(Dataset!$A$1) - 1, TRUE)</f>
        <v>0</v>
      </c>
      <c r="C20" s="46">
        <f>VLOOKUP($A20, Dataset!$A$2:$T$100, MATCH("bus2", Dataset!$A$1:$T$1, 0) + COLUMN(Dataset!$A$1) - 1, TRUE)</f>
        <v>0</v>
      </c>
      <c r="D20" s="12">
        <f>VLOOKUP($A20, Dataset!$A$2:$T$100, MATCH("rv3", Dataset!$A$1:$T$1, 0) + COLUMN(Dataset!$A$1) - 1, TRUE)</f>
        <v>0</v>
      </c>
      <c r="E20" s="12">
        <f>VLOOKUP($A20, Dataset!$A$2:$T$100, MATCH("truck2", Dataset!$A$1:$T$1, 0) + COLUMN(Dataset!$A$1) - 1, TRUE)</f>
        <v>0</v>
      </c>
      <c r="F20" s="8" t="e">
        <f>VLOOKUP($A20, Dataset!$A$2:$T$100, MATCH("taxi2", Dataset!$A$1:$T$1, 0) + COLUMN(Dataset!$A$1) - 1, TRUE)</f>
        <v>#N/A</v>
      </c>
    </row>
    <row r="21" spans="1:6" ht="14.4" x14ac:dyDescent="0.3">
      <c r="A21" s="7" t="s">
        <v>57</v>
      </c>
      <c r="B21" s="46">
        <f>VLOOKUP($A21, Dataset!$A$2:$T$100, MATCH("car1", Dataset!$A$1:$T$1, 0) + COLUMN(Dataset!$A$1) - 1, TRUE)</f>
        <v>49.1</v>
      </c>
      <c r="C21" s="46">
        <f>VLOOKUP($A21, Dataset!$A$2:$T$100, MATCH("bus2", Dataset!$A$1:$T$1, 0) + COLUMN(Dataset!$A$1) - 1, TRUE)</f>
        <v>146.80000000000001</v>
      </c>
      <c r="D21" s="12">
        <f>VLOOKUP($A21, Dataset!$A$2:$T$100, MATCH("rv3", Dataset!$A$1:$T$1, 0) + COLUMN(Dataset!$A$1) - 1, TRUE)</f>
        <v>90.9</v>
      </c>
      <c r="E21" s="12">
        <f>VLOOKUP($A21, Dataset!$A$2:$T$100, MATCH("truck2", Dataset!$A$1:$T$1, 0) + COLUMN(Dataset!$A$1) - 1, TRUE)</f>
        <v>183.5</v>
      </c>
      <c r="F21" s="8" t="e">
        <f>VLOOKUP($A21, Dataset!$A$2:$T$100, MATCH("taxi2", Dataset!$A$1:$T$1, 0) + COLUMN(Dataset!$A$1) - 1, TRUE)</f>
        <v>#N/A</v>
      </c>
    </row>
    <row r="22" spans="1:6" ht="14.4" x14ac:dyDescent="0.3">
      <c r="A22" s="7" t="s">
        <v>58</v>
      </c>
      <c r="B22" s="46">
        <f>VLOOKUP($A22, Dataset!$A$2:$T$100, MATCH("car1", Dataset!$A$1:$T$1, 0) + COLUMN(Dataset!$A$1) - 1, TRUE)</f>
        <v>49.1</v>
      </c>
      <c r="C22" s="46">
        <f>VLOOKUP($A22, Dataset!$A$2:$T$100, MATCH("bus2", Dataset!$A$1:$T$1, 0) + COLUMN(Dataset!$A$1) - 1, TRUE)</f>
        <v>146.80000000000001</v>
      </c>
      <c r="D22" s="12">
        <f>VLOOKUP($A22, Dataset!$A$2:$T$100, MATCH("rv3", Dataset!$A$1:$T$1, 0) + COLUMN(Dataset!$A$1) - 1, TRUE)</f>
        <v>90.9</v>
      </c>
      <c r="E22" s="12">
        <f>VLOOKUP($A22, Dataset!$A$2:$T$100, MATCH("truck2", Dataset!$A$1:$T$1, 0) + COLUMN(Dataset!$A$1) - 1, TRUE)</f>
        <v>183.5</v>
      </c>
      <c r="F22" s="8" t="e">
        <f>VLOOKUP($A22, Dataset!$A$2:$T$100, MATCH("taxi2", Dataset!$A$1:$T$1, 0) + COLUMN(Dataset!$A$1) - 1, TRUE)</f>
        <v>#N/A</v>
      </c>
    </row>
    <row r="23" spans="1:6" ht="14.4" x14ac:dyDescent="0.3">
      <c r="A23" s="7" t="s">
        <v>31</v>
      </c>
      <c r="B23" s="46">
        <f>VLOOKUP($A23, Dataset!$A$2:$T$100, MATCH("car1", Dataset!$A$1:$T$1, 0) + COLUMN(Dataset!$A$1) - 1, TRUE)</f>
        <v>47.3</v>
      </c>
      <c r="C23" s="46">
        <f>VLOOKUP($A23, Dataset!$A$2:$T$100, MATCH("bus2", Dataset!$A$1:$T$1, 0) + COLUMN(Dataset!$A$1) - 1, TRUE)</f>
        <v>142.5</v>
      </c>
      <c r="D23" s="12">
        <f>VLOOKUP($A23, Dataset!$A$2:$T$100, MATCH("rv3", Dataset!$A$1:$T$1, 0) + COLUMN(Dataset!$A$1) - 1, TRUE)</f>
        <v>86.4</v>
      </c>
      <c r="E23" s="12">
        <f>VLOOKUP($A23, Dataset!$A$2:$T$100, MATCH("truck2", Dataset!$A$1:$T$1, 0) + COLUMN(Dataset!$A$1) - 1, TRUE)</f>
        <v>174.2</v>
      </c>
      <c r="F23" s="8" t="e">
        <f>VLOOKUP($A23, Dataset!$A$2:$T$100, MATCH("taxi2", Dataset!$A$1:$T$1, 0) + COLUMN(Dataset!$A$1) - 1, TRUE)</f>
        <v>#N/A</v>
      </c>
    </row>
    <row r="24" spans="1:6" ht="14.4" x14ac:dyDescent="0.3">
      <c r="A24" s="7" t="s">
        <v>32</v>
      </c>
      <c r="B24" s="46">
        <f>VLOOKUP($A24, Dataset!$A$2:$T$100, MATCH("car1", Dataset!$A$1:$T$1, 0) + COLUMN(Dataset!$A$1) - 1, TRUE)</f>
        <v>-1</v>
      </c>
      <c r="C24" s="46">
        <f>VLOOKUP($A24, Dataset!$A$2:$T$100, MATCH("bus2", Dataset!$A$1:$T$1, 0) + COLUMN(Dataset!$A$1) - 1, TRUE)</f>
        <v>-1</v>
      </c>
      <c r="D24" s="12">
        <f>VLOOKUP($A24, Dataset!$A$2:$T$100, MATCH("rv3", Dataset!$A$1:$T$1, 0) + COLUMN(Dataset!$A$1) - 1, TRUE)</f>
        <v>-1</v>
      </c>
      <c r="E24" s="12">
        <f>VLOOKUP($A24, Dataset!$A$2:$T$100, MATCH("truck2", Dataset!$A$1:$T$1, 0) + COLUMN(Dataset!$A$1) - 1, TRUE)</f>
        <v>-1</v>
      </c>
      <c r="F24" s="8" t="e">
        <f>VLOOKUP($A24, Dataset!$A$2:$T$100, MATCH("taxi2", Dataset!$A$1:$T$1, 0) + COLUMN(Dataset!$A$1) - 1, TRUE)</f>
        <v>#N/A</v>
      </c>
    </row>
    <row r="25" spans="1:6" ht="14.4" x14ac:dyDescent="0.3">
      <c r="A25" s="7" t="s">
        <v>34</v>
      </c>
      <c r="B25" s="46">
        <f>VLOOKUP($A25, Dataset!$A$2:$T$100, MATCH("car1", Dataset!$A$1:$T$1, 0) + COLUMN(Dataset!$A$1) - 1, TRUE)</f>
        <v>49.1</v>
      </c>
      <c r="C25" s="46">
        <f>VLOOKUP($A25, Dataset!$A$2:$T$100, MATCH("bus2", Dataset!$A$1:$T$1, 0) + COLUMN(Dataset!$A$1) - 1, TRUE)</f>
        <v>146.80000000000001</v>
      </c>
      <c r="D25" s="12">
        <f>VLOOKUP($A25, Dataset!$A$2:$T$100, MATCH("rv3", Dataset!$A$1:$T$1, 0) + COLUMN(Dataset!$A$1) - 1, TRUE)</f>
        <v>90.9</v>
      </c>
      <c r="E25" s="12">
        <f>VLOOKUP($A25, Dataset!$A$2:$T$100, MATCH("truck2", Dataset!$A$1:$T$1, 0) + COLUMN(Dataset!$A$1) - 1, TRUE)</f>
        <v>183.5</v>
      </c>
      <c r="F25" s="8" t="e">
        <f>VLOOKUP($A25, Dataset!$A$2:$T$100, MATCH("taxi2", Dataset!$A$1:$T$1, 0) + COLUMN(Dataset!$A$1) - 1, TRUE)</f>
        <v>#N/A</v>
      </c>
    </row>
    <row r="26" spans="1:6" ht="14.4" x14ac:dyDescent="0.3">
      <c r="A26" s="7" t="s">
        <v>37</v>
      </c>
      <c r="B26" s="46">
        <f>VLOOKUP($A26, Dataset!$A$2:$T$100, MATCH("car1", Dataset!$A$1:$T$1, 0) + COLUMN(Dataset!$A$1) - 1, TRUE)</f>
        <v>49.1</v>
      </c>
      <c r="C26" s="46">
        <f>VLOOKUP($A26, Dataset!$A$2:$T$100, MATCH("bus2", Dataset!$A$1:$T$1, 0) + COLUMN(Dataset!$A$1) - 1, TRUE)</f>
        <v>146.80000000000001</v>
      </c>
      <c r="D26" s="12">
        <f>VLOOKUP($A26, Dataset!$A$2:$T$100, MATCH("rv3", Dataset!$A$1:$T$1, 0) + COLUMN(Dataset!$A$1) - 1, TRUE)</f>
        <v>90.9</v>
      </c>
      <c r="E26" s="12">
        <f>VLOOKUP($A26, Dataset!$A$2:$T$100, MATCH("truck2", Dataset!$A$1:$T$1, 0) + COLUMN(Dataset!$A$1) - 1, TRUE)</f>
        <v>183.5</v>
      </c>
      <c r="F26" s="8" t="e">
        <f>VLOOKUP($A26, Dataset!$A$2:$T$100, MATCH("taxi2", Dataset!$A$1:$T$1, 0) + COLUMN(Dataset!$A$1) - 1, TRUE)</f>
        <v>#N/A</v>
      </c>
    </row>
    <row r="27" spans="1:6" ht="14.4" x14ac:dyDescent="0.3">
      <c r="A27" s="7" t="s">
        <v>39</v>
      </c>
      <c r="B27" s="46">
        <f>VLOOKUP($A27, Dataset!$A$2:$T$100, MATCH("car1", Dataset!$A$1:$T$1, 0) + COLUMN(Dataset!$A$1) - 1, TRUE)</f>
        <v>51.8</v>
      </c>
      <c r="C27" s="46">
        <f>VLOOKUP($A27, Dataset!$A$2:$T$100, MATCH("bus2", Dataset!$A$1:$T$1, 0) + COLUMN(Dataset!$A$1) - 1, TRUE)</f>
        <v>156.4</v>
      </c>
      <c r="D27" s="12">
        <f>VLOOKUP($A27, Dataset!$A$2:$T$100, MATCH("rv3", Dataset!$A$1:$T$1, 0) + COLUMN(Dataset!$A$1) - 1, TRUE)</f>
        <v>93.1</v>
      </c>
      <c r="E27" s="12">
        <f>VLOOKUP($A27, Dataset!$A$2:$T$100, MATCH("truck2", Dataset!$A$1:$T$1, 0) + COLUMN(Dataset!$A$1) - 1, TRUE)</f>
        <v>188.1</v>
      </c>
      <c r="F27" s="8" t="e">
        <f>VLOOKUP($A27, Dataset!$A$2:$T$100, MATCH("taxi2", Dataset!$A$1:$T$1, 0) + COLUMN(Dataset!$A$1) - 1, TRUE)</f>
        <v>#N/A</v>
      </c>
    </row>
    <row r="28" spans="1:6" ht="14.4" x14ac:dyDescent="0.3">
      <c r="A28" s="19" t="s">
        <v>82</v>
      </c>
      <c r="B28" s="46">
        <f>MIN(B6:B27)</f>
        <v>-1</v>
      </c>
      <c r="C28" s="46">
        <f t="shared" ref="C28:F28" si="0">MIN(C6:C27)</f>
        <v>-1</v>
      </c>
      <c r="D28" s="46">
        <f t="shared" si="0"/>
        <v>-1</v>
      </c>
      <c r="E28" s="46">
        <f t="shared" si="0"/>
        <v>-1</v>
      </c>
      <c r="F28" s="46" t="e">
        <f t="shared" si="0"/>
        <v>#N/A</v>
      </c>
    </row>
    <row r="29" spans="1:6" ht="14.4" x14ac:dyDescent="0.3">
      <c r="A29" s="19" t="s">
        <v>83</v>
      </c>
      <c r="B29" s="46">
        <f>MAX(B6:B27)</f>
        <v>51.8</v>
      </c>
      <c r="C29" s="46">
        <f t="shared" ref="C29:F29" si="1">MAX(C6:C27)</f>
        <v>156.4</v>
      </c>
      <c r="D29" s="46">
        <f t="shared" si="1"/>
        <v>93.1</v>
      </c>
      <c r="E29" s="46">
        <f t="shared" si="1"/>
        <v>188.1</v>
      </c>
      <c r="F29" s="46" t="e">
        <f t="shared" si="1"/>
        <v>#N/A</v>
      </c>
    </row>
    <row r="30" spans="1:6" ht="14.4" x14ac:dyDescent="0.3">
      <c r="A30" s="19" t="s">
        <v>84</v>
      </c>
      <c r="B30" s="46">
        <f>AVERAGE(B6:B27)</f>
        <v>31.6</v>
      </c>
      <c r="C30" s="46">
        <f t="shared" ref="C30:F30" si="2">AVERAGE(C6:C27)</f>
        <v>94.809090909090912</v>
      </c>
      <c r="D30" s="46">
        <f t="shared" si="2"/>
        <v>57.722727272727276</v>
      </c>
      <c r="E30" s="46">
        <f t="shared" si="2"/>
        <v>116.7409090909091</v>
      </c>
      <c r="F30" s="46" t="e">
        <f t="shared" si="2"/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5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153</v>
      </c>
      <c r="B6" s="39" t="s">
        <v>179</v>
      </c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103</v>
      </c>
      <c r="C15" s="15"/>
      <c r="D15" s="17"/>
      <c r="E15" s="15"/>
      <c r="F15" s="17"/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cm="1">
        <f t="array" ref="B6">SUM(IF(ISNA(C2:C7), 20, C2:C7))</f>
        <v>0</v>
      </c>
    </row>
    <row r="7" spans="1:3" ht="14.4" x14ac:dyDescent="0.3">
      <c r="A7" s="3" t="s">
        <v>153</v>
      </c>
      <c r="B7" s="1" t="s">
        <v>177</v>
      </c>
    </row>
    <row r="10" spans="1:3" ht="23.4" x14ac:dyDescent="0.45">
      <c r="A10" s="18" t="s">
        <v>162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 t="e">
        <v>#N/A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17" t="e">
        <v>#N/A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154</v>
      </c>
      <c r="C17" s="17">
        <v>150</v>
      </c>
    </row>
    <row r="18" spans="1:3" ht="14.4" x14ac:dyDescent="0.3">
      <c r="A18" s="31">
        <v>44933</v>
      </c>
      <c r="B18" s="17" t="s">
        <v>155</v>
      </c>
      <c r="C18" s="17">
        <v>80</v>
      </c>
    </row>
    <row r="19" spans="1:3" ht="14.4" x14ac:dyDescent="0.3">
      <c r="A19" s="31">
        <v>44934</v>
      </c>
      <c r="B19" s="17" t="s">
        <v>156</v>
      </c>
      <c r="C19" s="17" t="e">
        <v>#N/A</v>
      </c>
    </row>
    <row r="20" spans="1:3" ht="14.4" x14ac:dyDescent="0.3">
      <c r="A20" s="31">
        <v>44935</v>
      </c>
      <c r="B20" s="17" t="s">
        <v>157</v>
      </c>
      <c r="C20" s="17">
        <v>30</v>
      </c>
    </row>
    <row r="21" spans="1:3" ht="14.4" x14ac:dyDescent="0.3">
      <c r="A21" s="31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1" zoomScaleNormal="100" workbookViewId="0">
      <selection activeCell="E4" sqref="E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>
        <v>95</v>
      </c>
    </row>
    <row r="24" spans="1:14" ht="14.4" x14ac:dyDescent="0.3">
      <c r="A24" s="7">
        <v>10100</v>
      </c>
      <c r="B24" s="12">
        <v>10104</v>
      </c>
      <c r="C24" s="43">
        <v>185</v>
      </c>
    </row>
    <row r="25" spans="1:14" ht="14.4" x14ac:dyDescent="0.3">
      <c r="A25" s="7">
        <v>10108</v>
      </c>
      <c r="B25" s="12">
        <v>10102</v>
      </c>
      <c r="C25" s="43">
        <v>390</v>
      </c>
    </row>
    <row r="26" spans="1:14" ht="14.4" x14ac:dyDescent="0.3">
      <c r="A26" s="7">
        <v>10100</v>
      </c>
      <c r="B26" s="12">
        <v>10106</v>
      </c>
      <c r="C26" s="43">
        <v>305</v>
      </c>
    </row>
    <row r="27" spans="1:14" ht="14.4" x14ac:dyDescent="0.3">
      <c r="A27" s="7">
        <v>10108</v>
      </c>
      <c r="B27" s="12">
        <v>10110</v>
      </c>
      <c r="C27" s="43">
        <v>210</v>
      </c>
    </row>
    <row r="28" spans="1:14" ht="14.4" x14ac:dyDescent="0.3">
      <c r="A28" s="7">
        <v>10102</v>
      </c>
      <c r="B28" s="12">
        <v>10104</v>
      </c>
      <c r="C28" s="43">
        <v>60</v>
      </c>
    </row>
    <row r="29" spans="1:14" ht="14.4" x14ac:dyDescent="0.3">
      <c r="A29" s="7">
        <v>10106</v>
      </c>
      <c r="B29" s="12">
        <v>10108</v>
      </c>
      <c r="C29" s="43">
        <v>115</v>
      </c>
    </row>
    <row r="30" spans="1:14" ht="14.4" x14ac:dyDescent="0.3">
      <c r="A30" s="7">
        <v>10102</v>
      </c>
      <c r="B30" s="12">
        <v>10106</v>
      </c>
      <c r="C30" s="43">
        <v>120</v>
      </c>
    </row>
    <row r="31" spans="1:14" ht="14.4" x14ac:dyDescent="0.3">
      <c r="A31" s="7">
        <v>10110</v>
      </c>
      <c r="B31" s="12">
        <v>10114</v>
      </c>
      <c r="C31" s="43">
        <v>180</v>
      </c>
    </row>
    <row r="32" spans="1:14" ht="14.4" x14ac:dyDescent="0.3">
      <c r="A32" s="7">
        <v>10104</v>
      </c>
      <c r="B32" s="12">
        <v>10106</v>
      </c>
      <c r="C32" s="43">
        <v>130</v>
      </c>
    </row>
    <row r="33" spans="1:3" ht="14.4" x14ac:dyDescent="0.3">
      <c r="A33" s="7">
        <v>10110</v>
      </c>
      <c r="B33" s="12">
        <v>10112</v>
      </c>
      <c r="C33" s="43">
        <v>220</v>
      </c>
    </row>
    <row r="34" spans="1:3" ht="14.4" x14ac:dyDescent="0.3">
      <c r="A34" s="7">
        <v>10100</v>
      </c>
      <c r="B34" s="12">
        <v>10114</v>
      </c>
      <c r="C34" s="43">
        <v>525</v>
      </c>
    </row>
    <row r="35" spans="1:3" ht="14.4" x14ac:dyDescent="0.3">
      <c r="A35" s="9">
        <v>10112</v>
      </c>
      <c r="B35" s="13">
        <v>10116</v>
      </c>
      <c r="C35" s="43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Acer</cp:lastModifiedBy>
  <dcterms:created xsi:type="dcterms:W3CDTF">2015-02-10T17:33:11Z</dcterms:created>
  <dcterms:modified xsi:type="dcterms:W3CDTF">2023-12-10T17:59:20Z</dcterms:modified>
</cp:coreProperties>
</file>